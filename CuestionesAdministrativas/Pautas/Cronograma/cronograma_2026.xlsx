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4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1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1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1" fontId="3" fillId="2" borderId="2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3" fontId="5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164" fontId="4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6" fillId="0" borderId="2" applyAlignment="1" pivotButton="0" quotePrefix="0" xfId="0">
      <alignment horizontal="center" wrapText="1"/>
    </xf>
    <xf numFmtId="164" fontId="6" fillId="0" borderId="2" applyAlignment="1" pivotButton="0" quotePrefix="0" xfId="0">
      <alignment horizontal="center" wrapText="1"/>
    </xf>
    <xf numFmtId="0" fontId="6" fillId="3" borderId="2" applyAlignment="1" pivotButton="0" quotePrefix="0" xfId="0">
      <alignment horizontal="center" wrapText="1"/>
    </xf>
    <xf numFmtId="0" fontId="6" fillId="4" borderId="2" applyAlignment="1" pivotButton="0" quotePrefix="0" xfId="0">
      <alignment horizontal="center" wrapText="1"/>
    </xf>
    <xf numFmtId="0" fontId="6" fillId="0" borderId="2" applyAlignment="1" pivotButton="0" quotePrefix="0" xfId="0">
      <alignment horizontal="left" wrapText="1"/>
    </xf>
    <xf numFmtId="0" fontId="6" fillId="5" borderId="2" applyAlignment="1" pivotButton="0" quotePrefix="0" xfId="0">
      <alignment horizontal="center" wrapText="1"/>
    </xf>
    <xf numFmtId="0" fontId="6" fillId="6" borderId="2" applyAlignment="1" pivotButton="0" quotePrefix="0" xfId="0">
      <alignment horizontal="center" wrapText="1"/>
    </xf>
    <xf numFmtId="164" fontId="6" fillId="6" borderId="2" applyAlignment="1" pivotButton="0" quotePrefix="0" xfId="0">
      <alignment horizontal="center" wrapText="1"/>
    </xf>
    <xf numFmtId="0" fontId="6" fillId="6" borderId="2" applyAlignment="1" pivotButton="0" quotePrefix="0" xfId="0">
      <alignment horizontal="left" wrapText="1"/>
    </xf>
    <xf numFmtId="0" fontId="6" fillId="7" borderId="2" applyAlignment="1" pivotButton="0" quotePrefix="0" xfId="0">
      <alignment horizontal="center" wrapText="1"/>
    </xf>
    <xf numFmtId="0" fontId="6" fillId="8" borderId="2" applyAlignment="1" pivotButton="0" quotePrefix="0" xfId="0">
      <alignment horizontal="center" wrapText="1"/>
    </xf>
    <xf numFmtId="164" fontId="3" fillId="2" borderId="2" applyAlignment="1" pivotButton="0" quotePrefix="0" xfId="0">
      <alignment horizontal="center" wrapText="1"/>
    </xf>
    <xf numFmtId="0" fontId="3" fillId="2" borderId="2" applyAlignment="1" pivotButton="0" quotePrefix="0" xfId="0">
      <alignment horizontal="left" wrapText="1"/>
    </xf>
    <xf numFmtId="0" fontId="6" fillId="9" borderId="2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3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0.005" bestFit="1" customWidth="1" style="34" min="1" max="1"/>
    <col width="13.005" bestFit="1" customWidth="1" style="35" min="2" max="2"/>
    <col width="11.005" bestFit="1" customWidth="1" style="34" min="3" max="3"/>
    <col width="13.005" bestFit="1" customWidth="1" style="34" min="4" max="4"/>
    <col width="11.005" bestFit="1" customWidth="1" style="34" min="5" max="5"/>
    <col width="62.005" bestFit="1" customWidth="1" style="36" min="6" max="6"/>
    <col width="11.005" bestFit="1" customWidth="1" style="34" min="7" max="7"/>
  </cols>
  <sheetData>
    <row r="1" ht="27.75" customFormat="1" customHeight="1" s="7">
      <c r="A1" s="8" t="inlineStr">
        <is>
          <t>Clase</t>
        </is>
      </c>
      <c r="B1" s="9" t="inlineStr">
        <is>
          <t>Fecha</t>
        </is>
      </c>
      <c r="C1" s="8" t="inlineStr">
        <is>
          <t>Día</t>
        </is>
      </c>
      <c r="D1" s="8" t="inlineStr">
        <is>
          <t>Modalidad</t>
        </is>
      </c>
      <c r="E1" s="8" t="inlineStr">
        <is>
          <t>Unidad</t>
        </is>
      </c>
      <c r="F1" s="8" t="inlineStr">
        <is>
          <t>Tema</t>
        </is>
      </c>
      <c r="G1" s="8" t="inlineStr">
        <is>
          <t>Docente</t>
        </is>
      </c>
    </row>
    <row r="2" ht="19.5" customFormat="1" customHeight="1" s="7">
      <c r="A2" s="20" t="inlineStr">
        <is>
          <t>clase 0</t>
        </is>
      </c>
      <c r="B2" s="21" t="n">
        <v>46098</v>
      </c>
      <c r="C2" s="20" t="inlineStr">
        <is>
          <t>Martes</t>
        </is>
      </c>
      <c r="D2" s="22" t="inlineStr">
        <is>
          <t>presencial</t>
        </is>
      </c>
      <c r="E2" s="23" t="inlineStr">
        <is>
          <t>Unidad 1</t>
        </is>
      </c>
      <c r="F2" s="24" t="inlineStr">
        <is>
          <t>Introducción a Google Colaboratory - sintaxis - tipos de datos</t>
        </is>
      </c>
      <c r="G2" s="20" t="inlineStr">
        <is>
          <t>Todos</t>
        </is>
      </c>
    </row>
    <row r="3" ht="19.5" customFormat="1" customHeight="1" s="7">
      <c r="A3" s="20" t="inlineStr">
        <is>
          <t>clase 1</t>
        </is>
      </c>
      <c r="B3" s="21" t="n">
        <v>46101</v>
      </c>
      <c r="C3" s="20" t="inlineStr">
        <is>
          <t>Viernes</t>
        </is>
      </c>
      <c r="D3" s="25" t="inlineStr">
        <is>
          <t>virtual</t>
        </is>
      </c>
      <c r="E3" s="23" t="inlineStr">
        <is>
          <t>Unidad 1</t>
        </is>
      </c>
      <c r="F3" s="24" t="inlineStr">
        <is>
          <t>Manejo de archivos y visualización de datos organizacionales</t>
        </is>
      </c>
      <c r="G3" s="20" t="inlineStr">
        <is>
          <t>Rita</t>
        </is>
      </c>
    </row>
    <row r="4" ht="19.5" customFormat="1" customHeight="1" s="7">
      <c r="A4" s="26" t="n"/>
      <c r="B4" s="27" t="n">
        <v>46105</v>
      </c>
      <c r="C4" s="26" t="inlineStr">
        <is>
          <t>Martes</t>
        </is>
      </c>
      <c r="D4" s="26" t="inlineStr">
        <is>
          <t>Feriado</t>
        </is>
      </c>
      <c r="E4" s="23" t="inlineStr">
        <is>
          <t>Unidad 1</t>
        </is>
      </c>
      <c r="F4" s="28" t="n"/>
      <c r="G4" s="26" t="n"/>
    </row>
    <row r="5" ht="19.5" customFormat="1" customHeight="1" s="7">
      <c r="A5" s="20" t="inlineStr">
        <is>
          <t>clase 2</t>
        </is>
      </c>
      <c r="B5" s="21" t="n">
        <v>46108</v>
      </c>
      <c r="C5" s="20" t="inlineStr">
        <is>
          <t>Viernes</t>
        </is>
      </c>
      <c r="D5" s="25" t="inlineStr">
        <is>
          <t>virtual</t>
        </is>
      </c>
      <c r="E5" s="23" t="inlineStr">
        <is>
          <t>Unidad 1</t>
        </is>
      </c>
      <c r="F5" s="24" t="inlineStr">
        <is>
          <t>Modelización de funciones de oferta, demanda, costo, beneficio</t>
        </is>
      </c>
      <c r="G5" s="20" t="inlineStr">
        <is>
          <t>Juan</t>
        </is>
      </c>
    </row>
    <row r="6" ht="19.5" customFormat="1" customHeight="1" s="7">
      <c r="A6" s="20" t="inlineStr">
        <is>
          <t>clase 3</t>
        </is>
      </c>
      <c r="B6" s="21" t="n">
        <v>46112</v>
      </c>
      <c r="C6" s="20" t="inlineStr">
        <is>
          <t>Martes</t>
        </is>
      </c>
      <c r="D6" s="22" t="inlineStr">
        <is>
          <t>presencial</t>
        </is>
      </c>
      <c r="E6" s="23" t="inlineStr">
        <is>
          <t>Unidad 1</t>
        </is>
      </c>
      <c r="F6" s="24" t="inlineStr">
        <is>
          <t>Determinación de puntos de equilibrio - resolución de ecuaciones</t>
        </is>
      </c>
      <c r="G6" s="20" t="inlineStr">
        <is>
          <t>Manu</t>
        </is>
      </c>
    </row>
    <row r="7" ht="19.5" customFormat="1" customHeight="1" s="7">
      <c r="A7" s="26" t="n"/>
      <c r="B7" s="27" t="n">
        <v>46115</v>
      </c>
      <c r="C7" s="26" t="inlineStr">
        <is>
          <t>Viernes</t>
        </is>
      </c>
      <c r="D7" s="26" t="inlineStr">
        <is>
          <t>Feriado</t>
        </is>
      </c>
      <c r="E7" s="26" t="n"/>
      <c r="F7" s="28" t="n"/>
      <c r="G7" s="26" t="n"/>
    </row>
    <row r="8" ht="33" customFormat="1" customHeight="1" s="7">
      <c r="A8" s="20" t="inlineStr">
        <is>
          <t>clase 4</t>
        </is>
      </c>
      <c r="B8" s="21" t="n">
        <v>46119</v>
      </c>
      <c r="C8" s="20" t="inlineStr">
        <is>
          <t>Martes</t>
        </is>
      </c>
      <c r="D8" s="22" t="inlineStr">
        <is>
          <t>presencial</t>
        </is>
      </c>
      <c r="E8" s="29" t="inlineStr">
        <is>
          <t>Unidad 2</t>
        </is>
      </c>
      <c r="F8" s="24" t="inlineStr">
        <is>
          <t>Vectores y matrices. Operaciones con matrices para la transformación de datos</t>
        </is>
      </c>
      <c r="G8" s="20" t="inlineStr">
        <is>
          <t>Juan</t>
        </is>
      </c>
    </row>
    <row r="9" ht="33" customFormat="1" customHeight="1" s="7">
      <c r="A9" s="20" t="inlineStr">
        <is>
          <t>clase 5</t>
        </is>
      </c>
      <c r="B9" s="21" t="n">
        <v>46122</v>
      </c>
      <c r="C9" s="20" t="inlineStr">
        <is>
          <t>Viernes</t>
        </is>
      </c>
      <c r="D9" s="25" t="inlineStr">
        <is>
          <t>virtual</t>
        </is>
      </c>
      <c r="E9" s="29" t="inlineStr">
        <is>
          <t>Unidad 2</t>
        </is>
      </c>
      <c r="F9" s="24" t="inlineStr">
        <is>
          <t>Modelo insumo - producto de Leontief para análisis económico sectorial</t>
        </is>
      </c>
      <c r="G9" s="20" t="inlineStr">
        <is>
          <t>Juan</t>
        </is>
      </c>
    </row>
    <row r="10" ht="33" customFormat="1" customHeight="1" s="7">
      <c r="A10" s="20" t="inlineStr">
        <is>
          <t>clase 6</t>
        </is>
      </c>
      <c r="B10" s="21" t="n">
        <v>46126</v>
      </c>
      <c r="C10" s="20" t="inlineStr">
        <is>
          <t>Martes</t>
        </is>
      </c>
      <c r="D10" s="22" t="inlineStr">
        <is>
          <t>presencial</t>
        </is>
      </c>
      <c r="E10" s="29" t="inlineStr">
        <is>
          <t>Unidad 2</t>
        </is>
      </c>
      <c r="F10" s="24" t="inlineStr">
        <is>
          <t>Modelado de problemas organizacionales mediante sistemas de ecuaciones lineales</t>
        </is>
      </c>
      <c r="G10" s="20" t="inlineStr">
        <is>
          <t>Juan</t>
        </is>
      </c>
    </row>
    <row r="11" ht="19.5" customFormat="1" customHeight="1" s="7">
      <c r="A11" s="20" t="inlineStr">
        <is>
          <t>clase 7</t>
        </is>
      </c>
      <c r="B11" s="21" t="n">
        <v>46129</v>
      </c>
      <c r="C11" s="20" t="inlineStr">
        <is>
          <t>Viernes</t>
        </is>
      </c>
      <c r="D11" s="25" t="inlineStr">
        <is>
          <t>virtual</t>
        </is>
      </c>
      <c r="E11" s="29" t="inlineStr">
        <is>
          <t>Unidad 2</t>
        </is>
      </c>
      <c r="F11" s="24" t="inlineStr">
        <is>
          <t>Modelos de programación lineal y su aplicación en las organizaciones</t>
        </is>
      </c>
      <c r="G11" s="20" t="inlineStr">
        <is>
          <t>Rita</t>
        </is>
      </c>
    </row>
    <row r="12" ht="19.5" customFormat="1" customHeight="1" s="7">
      <c r="A12" s="20" t="inlineStr">
        <is>
          <t>clase 8</t>
        </is>
      </c>
      <c r="B12" s="21" t="n">
        <v>46133</v>
      </c>
      <c r="C12" s="20" t="inlineStr">
        <is>
          <t>Martes</t>
        </is>
      </c>
      <c r="D12" s="22" t="inlineStr">
        <is>
          <t>presencial</t>
        </is>
      </c>
      <c r="E12" s="30" t="inlineStr">
        <is>
          <t>Unidad 3</t>
        </is>
      </c>
      <c r="F12" s="24" t="inlineStr">
        <is>
          <t>La derivada y la variación de métricas organizacionales</t>
        </is>
      </c>
      <c r="G12" s="20" t="inlineStr">
        <is>
          <t>Manu</t>
        </is>
      </c>
    </row>
    <row r="13" ht="33" customFormat="1" customHeight="1" s="7">
      <c r="A13" s="20" t="inlineStr">
        <is>
          <t>clase 9</t>
        </is>
      </c>
      <c r="B13" s="21" t="n">
        <v>46136</v>
      </c>
      <c r="C13" s="20" t="inlineStr">
        <is>
          <t>Viernes</t>
        </is>
      </c>
      <c r="D13" s="25" t="inlineStr">
        <is>
          <t>virtual</t>
        </is>
      </c>
      <c r="E13" s="30" t="inlineStr">
        <is>
          <t>Unidad 3</t>
        </is>
      </c>
      <c r="F13" s="24" t="inlineStr">
        <is>
          <t>Implementación en Python de funciones económicas marginales y elasticidades</t>
        </is>
      </c>
      <c r="G13" s="20" t="inlineStr">
        <is>
          <t>Manu</t>
        </is>
      </c>
    </row>
    <row r="14" ht="33" customFormat="1" customHeight="1" s="7">
      <c r="A14" s="20" t="inlineStr">
        <is>
          <t>clase 10</t>
        </is>
      </c>
      <c r="B14" s="21" t="n">
        <v>46140</v>
      </c>
      <c r="C14" s="20" t="inlineStr">
        <is>
          <t>Martes</t>
        </is>
      </c>
      <c r="D14" s="22" t="inlineStr">
        <is>
          <t>presencial</t>
        </is>
      </c>
      <c r="E14" s="30" t="inlineStr">
        <is>
          <t>Unidad 3</t>
        </is>
      </c>
      <c r="F14" s="24" t="inlineStr">
        <is>
          <t>Problemas de optimización de funciones que representan objetivos organizacionales</t>
        </is>
      </c>
      <c r="G14" s="20" t="inlineStr">
        <is>
          <t>Manu</t>
        </is>
      </c>
    </row>
    <row r="15" ht="19.5" customFormat="1" customHeight="1" s="7">
      <c r="A15" s="26" t="n"/>
      <c r="B15" s="27" t="n">
        <v>46143</v>
      </c>
      <c r="C15" s="26" t="inlineStr">
        <is>
          <t>Viernes</t>
        </is>
      </c>
      <c r="D15" s="26" t="inlineStr">
        <is>
          <t>Feriado</t>
        </is>
      </c>
      <c r="E15" s="26" t="n"/>
      <c r="F15" s="28" t="n"/>
      <c r="G15" s="26" t="n"/>
    </row>
    <row r="16" ht="19.5" customFormat="1" customHeight="1" s="7">
      <c r="A16" s="8" t="n"/>
      <c r="B16" s="31" t="n">
        <v>46147</v>
      </c>
      <c r="C16" s="8" t="inlineStr">
        <is>
          <t>Martes</t>
        </is>
      </c>
      <c r="D16" s="8" t="inlineStr">
        <is>
          <t>presencial</t>
        </is>
      </c>
      <c r="E16" s="8" t="inlineStr">
        <is>
          <t>HITO</t>
        </is>
      </c>
      <c r="F16" s="32" t="inlineStr">
        <is>
          <t>PRIMER PARCIAL</t>
        </is>
      </c>
      <c r="G16" s="8" t="n"/>
    </row>
    <row r="17" ht="33" customFormat="1" customHeight="1" s="7">
      <c r="A17" s="20" t="inlineStr">
        <is>
          <t>clase 11</t>
        </is>
      </c>
      <c r="B17" s="21" t="n">
        <v>46150</v>
      </c>
      <c r="C17" s="20" t="inlineStr">
        <is>
          <t>Viernes</t>
        </is>
      </c>
      <c r="D17" s="25" t="inlineStr">
        <is>
          <t>virtual</t>
        </is>
      </c>
      <c r="E17" s="25" t="inlineStr">
        <is>
          <t>Unidad 4</t>
        </is>
      </c>
      <c r="F17" s="24" t="inlineStr">
        <is>
          <t>Determinación de funciones económicas totales a partir de las marginales</t>
        </is>
      </c>
      <c r="G17" s="20" t="inlineStr">
        <is>
          <t>Juan</t>
        </is>
      </c>
    </row>
    <row r="18" ht="19.5" customFormat="1" customHeight="1" s="7">
      <c r="A18" s="20" t="inlineStr">
        <is>
          <t>clase 12</t>
        </is>
      </c>
      <c r="B18" s="21" t="n">
        <v>46154</v>
      </c>
      <c r="C18" s="20" t="inlineStr">
        <is>
          <t>Martes</t>
        </is>
      </c>
      <c r="D18" s="22" t="inlineStr">
        <is>
          <t>presencial</t>
        </is>
      </c>
      <c r="E18" s="25" t="inlineStr">
        <is>
          <t>Unidad 4</t>
        </is>
      </c>
      <c r="F18" s="24" t="inlineStr">
        <is>
          <t>Aplicaciones económicas</t>
        </is>
      </c>
      <c r="G18" s="20" t="inlineStr">
        <is>
          <t>Juan</t>
        </is>
      </c>
    </row>
    <row r="19" ht="19.5" customFormat="1" customHeight="1" s="7">
      <c r="A19" s="20" t="inlineStr">
        <is>
          <t>clase 13</t>
        </is>
      </c>
      <c r="B19" s="21" t="n">
        <v>46157</v>
      </c>
      <c r="C19" s="20" t="inlineStr">
        <is>
          <t>Viernes</t>
        </is>
      </c>
      <c r="D19" s="25" t="inlineStr">
        <is>
          <t>virtual</t>
        </is>
      </c>
      <c r="E19" s="25" t="inlineStr">
        <is>
          <t>Unidad 4</t>
        </is>
      </c>
      <c r="F19" s="24" t="inlineStr">
        <is>
          <t>Aplicación de integrales para estimar valores acumulados</t>
        </is>
      </c>
      <c r="G19" s="20" t="inlineStr">
        <is>
          <t>Rita</t>
        </is>
      </c>
    </row>
    <row r="20" ht="27.75" customFormat="1" customHeight="1" s="7">
      <c r="A20" s="20" t="inlineStr">
        <is>
          <t>clase 14</t>
        </is>
      </c>
      <c r="B20" s="21" t="n">
        <v>46161</v>
      </c>
      <c r="C20" s="20" t="inlineStr">
        <is>
          <t>Martes</t>
        </is>
      </c>
      <c r="D20" s="22" t="inlineStr">
        <is>
          <t>presencial</t>
        </is>
      </c>
      <c r="E20" s="25" t="inlineStr">
        <is>
          <t>Unidad 4</t>
        </is>
      </c>
      <c r="F20" s="24" t="inlineStr">
        <is>
          <t>Cálculo del excedente de productor y de consumidor</t>
        </is>
      </c>
      <c r="G20" s="20" t="inlineStr">
        <is>
          <t>Juan</t>
        </is>
      </c>
    </row>
    <row r="21" ht="27.75" customFormat="1" customHeight="1" s="7">
      <c r="A21" s="20" t="inlineStr">
        <is>
          <t>clase 15</t>
        </is>
      </c>
      <c r="B21" s="21" t="n">
        <v>46164</v>
      </c>
      <c r="C21" s="20" t="inlineStr">
        <is>
          <t>Viernes</t>
        </is>
      </c>
      <c r="D21" s="25" t="inlineStr">
        <is>
          <t>virtual</t>
        </is>
      </c>
      <c r="E21" s="25" t="inlineStr">
        <is>
          <t>Unidad 4</t>
        </is>
      </c>
      <c r="F21" s="24" t="inlineStr">
        <is>
          <t>Cálculo de valores presentes y futuros para análisis de inversiones</t>
        </is>
      </c>
      <c r="G21" s="20" t="inlineStr">
        <is>
          <t>Manu</t>
        </is>
      </c>
    </row>
    <row r="22" ht="27.75" customFormat="1" customHeight="1" s="7">
      <c r="A22" s="20" t="inlineStr">
        <is>
          <t>clase 16</t>
        </is>
      </c>
      <c r="B22" s="21" t="n">
        <v>46168</v>
      </c>
      <c r="C22" s="20" t="inlineStr">
        <is>
          <t>Martes</t>
        </is>
      </c>
      <c r="D22" s="22" t="inlineStr">
        <is>
          <t>presencial</t>
        </is>
      </c>
      <c r="E22" s="25" t="inlineStr">
        <is>
          <t>Unidad 4</t>
        </is>
      </c>
      <c r="F22" s="24" t="inlineStr">
        <is>
          <t>Aplicaciones económicas</t>
        </is>
      </c>
      <c r="G22" s="20" t="inlineStr">
        <is>
          <t>Manu</t>
        </is>
      </c>
    </row>
    <row r="23" ht="27.75" customFormat="1" customHeight="1" s="7">
      <c r="A23" s="20" t="inlineStr">
        <is>
          <t>clase 17</t>
        </is>
      </c>
      <c r="B23" s="21" t="n">
        <v>46171</v>
      </c>
      <c r="C23" s="20" t="inlineStr">
        <is>
          <t>Viernes</t>
        </is>
      </c>
      <c r="D23" s="25" t="inlineStr">
        <is>
          <t>virtual</t>
        </is>
      </c>
      <c r="E23" s="33" t="inlineStr">
        <is>
          <t>Unidad 5</t>
        </is>
      </c>
      <c r="F23" s="24" t="inlineStr">
        <is>
          <t>Manejo de datos estructurados. Preprocesado, análisis y visualización</t>
        </is>
      </c>
      <c r="G23" s="20" t="inlineStr">
        <is>
          <t>Juan</t>
        </is>
      </c>
    </row>
    <row r="24" ht="27.75" customFormat="1" customHeight="1" s="7">
      <c r="A24" s="20" t="inlineStr">
        <is>
          <t>clase 18</t>
        </is>
      </c>
      <c r="B24" s="21" t="n">
        <v>46175</v>
      </c>
      <c r="C24" s="20" t="inlineStr">
        <is>
          <t>Martes</t>
        </is>
      </c>
      <c r="D24" s="22" t="inlineStr">
        <is>
          <t>presencial</t>
        </is>
      </c>
      <c r="E24" s="33" t="inlineStr">
        <is>
          <t>Unidad 5</t>
        </is>
      </c>
      <c r="F24" s="24" t="inlineStr">
        <is>
          <t>Integradora 1 - Aplicaciones económico - financieras</t>
        </is>
      </c>
      <c r="G24" s="20" t="inlineStr">
        <is>
          <t>Manu</t>
        </is>
      </c>
    </row>
    <row r="25" ht="27.75" customFormat="1" customHeight="1" s="7">
      <c r="A25" s="20" t="inlineStr">
        <is>
          <t>clase 19</t>
        </is>
      </c>
      <c r="B25" s="21" t="n">
        <v>46178</v>
      </c>
      <c r="C25" s="20" t="inlineStr">
        <is>
          <t>Viernes</t>
        </is>
      </c>
      <c r="D25" s="25" t="inlineStr">
        <is>
          <t>virtual</t>
        </is>
      </c>
      <c r="E25" s="33" t="inlineStr">
        <is>
          <t>Unidad 5</t>
        </is>
      </c>
      <c r="F25" s="24" t="inlineStr">
        <is>
          <t>Responsabilidad ética en el uso de datos</t>
        </is>
      </c>
      <c r="G25" s="20" t="inlineStr">
        <is>
          <t>Rita</t>
        </is>
      </c>
    </row>
    <row r="26" ht="27.75" customFormat="1" customHeight="1" s="7">
      <c r="A26" s="20" t="inlineStr">
        <is>
          <t>clase 20</t>
        </is>
      </c>
      <c r="B26" s="21" t="n">
        <v>46182</v>
      </c>
      <c r="C26" s="20" t="inlineStr">
        <is>
          <t>Martes</t>
        </is>
      </c>
      <c r="D26" s="22" t="inlineStr">
        <is>
          <t>presencial</t>
        </is>
      </c>
      <c r="E26" s="33" t="inlineStr">
        <is>
          <t>Unidad 5</t>
        </is>
      </c>
      <c r="F26" s="24" t="inlineStr">
        <is>
          <t>Integradora 2 - Aplicaciones económico - financieras</t>
        </is>
      </c>
      <c r="G26" s="20" t="inlineStr">
        <is>
          <t>Manu</t>
        </is>
      </c>
    </row>
    <row r="27" ht="27.75" customFormat="1" customHeight="1" s="7">
      <c r="A27" s="8" t="n"/>
      <c r="B27" s="31" t="n">
        <v>46185</v>
      </c>
      <c r="C27" s="8" t="inlineStr">
        <is>
          <t>Viernes</t>
        </is>
      </c>
      <c r="D27" s="8" t="inlineStr">
        <is>
          <t>virtual</t>
        </is>
      </c>
      <c r="E27" s="8" t="inlineStr">
        <is>
          <t>HITO</t>
        </is>
      </c>
      <c r="F27" s="32" t="inlineStr">
        <is>
          <t>PRESENTACIÓN DE TRABAJOS PRÁCTICOS</t>
        </is>
      </c>
      <c r="G27" s="8" t="n"/>
    </row>
    <row r="28" ht="27.75" customFormat="1" customHeight="1" s="7">
      <c r="A28" s="8" t="n"/>
      <c r="B28" s="31" t="n">
        <v>46189</v>
      </c>
      <c r="C28" s="8" t="inlineStr">
        <is>
          <t>Martes</t>
        </is>
      </c>
      <c r="D28" s="8" t="inlineStr">
        <is>
          <t>presencial</t>
        </is>
      </c>
      <c r="E28" s="8" t="inlineStr">
        <is>
          <t>HITO</t>
        </is>
      </c>
      <c r="F28" s="32" t="inlineStr">
        <is>
          <t>SEGUNDO PARCIAL</t>
        </is>
      </c>
      <c r="G28" s="8" t="n"/>
    </row>
    <row r="29" ht="27.75" customFormat="1" customHeight="1" s="7">
      <c r="A29" s="20" t="n"/>
      <c r="B29" s="21" t="n">
        <v>46192</v>
      </c>
      <c r="C29" s="20" t="inlineStr">
        <is>
          <t>Viernes</t>
        </is>
      </c>
      <c r="D29" s="20" t="n"/>
      <c r="E29" s="20" t="n"/>
      <c r="F29" s="24" t="n"/>
      <c r="G29" s="20" t="n"/>
    </row>
    <row r="30" ht="27.75" customFormat="1" customHeight="1" s="7">
      <c r="A30" s="8" t="n"/>
      <c r="B30" s="31" t="n">
        <v>46196</v>
      </c>
      <c r="C30" s="8" t="inlineStr">
        <is>
          <t>Martes</t>
        </is>
      </c>
      <c r="D30" s="8" t="inlineStr">
        <is>
          <t>presencial</t>
        </is>
      </c>
      <c r="E30" s="8" t="inlineStr">
        <is>
          <t>HITO</t>
        </is>
      </c>
      <c r="F30" s="32" t="inlineStr">
        <is>
          <t>RECUPERATORIOS</t>
        </is>
      </c>
      <c r="G30" s="8" t="n"/>
    </row>
    <row r="31" ht="27.75" customFormat="1" customHeight="1" s="7">
      <c r="A31" s="20" t="n"/>
      <c r="B31" s="21" t="n">
        <v>46199</v>
      </c>
      <c r="C31" s="20" t="inlineStr">
        <is>
          <t>Viernes</t>
        </is>
      </c>
      <c r="D31" s="20" t="n"/>
      <c r="E31" s="20" t="n"/>
      <c r="F31" s="24" t="n"/>
      <c r="G31" s="20" t="n"/>
    </row>
    <row r="32" ht="27.75" customFormat="1" customHeight="1" s="7">
      <c r="A32" s="8" t="n"/>
      <c r="B32" s="31" t="n">
        <v>46203</v>
      </c>
      <c r="C32" s="8" t="inlineStr">
        <is>
          <t>Martes</t>
        </is>
      </c>
      <c r="D32" s="8" t="inlineStr">
        <is>
          <t>presencial</t>
        </is>
      </c>
      <c r="E32" s="8" t="inlineStr">
        <is>
          <t>HITO</t>
        </is>
      </c>
      <c r="F32" s="32" t="inlineStr">
        <is>
          <t>FINAL</t>
        </is>
      </c>
      <c r="G32" s="8" t="n"/>
    </row>
    <row r="33" ht="27.75" customFormat="1" customHeight="1" s="7">
      <c r="A33" s="20" t="n"/>
      <c r="B33" s="21" t="n">
        <v>46206</v>
      </c>
      <c r="C33" s="20" t="inlineStr">
        <is>
          <t>Viernes</t>
        </is>
      </c>
      <c r="D33" s="20" t="n"/>
      <c r="E33" s="20" t="n"/>
      <c r="F33" s="24" t="n"/>
      <c r="G33" s="2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2"/>
  <sheetViews>
    <sheetView workbookViewId="0">
      <selection activeCell="A1" sqref="A1"/>
    </sheetView>
  </sheetViews>
  <sheetFormatPr baseColWidth="8" defaultRowHeight="15"/>
  <cols>
    <col width="28.005" bestFit="1" customWidth="1" style="17" min="1" max="1"/>
    <col width="20.005" bestFit="1" customWidth="1" style="18" min="2" max="2"/>
    <col width="13.57642857142857" bestFit="1" customWidth="1" style="19" min="3" max="3"/>
  </cols>
  <sheetData>
    <row r="1" ht="18.75" customHeight="1">
      <c r="A1" s="1" t="inlineStr">
        <is>
          <t>Resumen del cuatrimestre</t>
        </is>
      </c>
    </row>
    <row r="2" ht="18.75" customHeight="1">
      <c r="A2" s="17" t="n"/>
      <c r="B2" s="18" t="n"/>
      <c r="C2" s="19" t="n"/>
    </row>
    <row r="3" ht="18.75" customHeight="1">
      <c r="A3" s="6" t="inlineStr">
        <is>
          <t>Clases por docente</t>
        </is>
      </c>
      <c r="B3" s="18" t="n"/>
      <c r="C3" s="19" t="n"/>
    </row>
    <row r="4" ht="18.75" customFormat="1" customHeight="1" s="7">
      <c r="A4" s="8" t="inlineStr">
        <is>
          <t>Docente</t>
        </is>
      </c>
      <c r="B4" s="9" t="inlineStr">
        <is>
          <t>Cantidad de clases</t>
        </is>
      </c>
      <c r="C4" s="10" t="n"/>
    </row>
    <row r="5" ht="18.75" customHeight="1">
      <c r="A5" s="11" t="inlineStr">
        <is>
          <t>Manu</t>
        </is>
      </c>
      <c r="B5" s="12">
        <f>COUNTIF(Cronograma!G:G,"Manu")</f>
        <v/>
      </c>
      <c r="C5" s="19" t="n"/>
    </row>
    <row r="6" ht="18.75" customHeight="1">
      <c r="A6" s="11" t="inlineStr">
        <is>
          <t>Rita</t>
        </is>
      </c>
      <c r="B6" s="12">
        <f>COUNTIF(Cronograma!G:G,"Rita")</f>
        <v/>
      </c>
      <c r="C6" s="19" t="n"/>
    </row>
    <row r="7" ht="18.75" customHeight="1">
      <c r="A7" s="11" t="inlineStr">
        <is>
          <t>Juan</t>
        </is>
      </c>
      <c r="B7" s="12">
        <f>COUNTIF(Cronograma!G:G,"Juan")</f>
        <v/>
      </c>
      <c r="C7" s="19" t="n"/>
    </row>
    <row r="8" ht="18.75" customHeight="1">
      <c r="A8" s="11" t="inlineStr">
        <is>
          <t>Todos</t>
        </is>
      </c>
      <c r="B8" s="12">
        <f>COUNTIF(Cronograma!G:G,"Todos")</f>
        <v/>
      </c>
      <c r="C8" s="19" t="n"/>
    </row>
    <row r="9" ht="18.75" customHeight="1">
      <c r="A9" s="13" t="inlineStr">
        <is>
          <t>TOTAL</t>
        </is>
      </c>
      <c r="B9" s="14">
        <f>SUM(B5:B8)</f>
        <v/>
      </c>
      <c r="C9" s="19" t="n"/>
    </row>
    <row r="10" ht="18.75" customHeight="1">
      <c r="A10" s="17" t="n"/>
      <c r="B10" s="18" t="n"/>
      <c r="C10" s="19" t="n"/>
    </row>
    <row r="11" ht="18.75" customHeight="1">
      <c r="A11" s="6" t="inlineStr">
        <is>
          <t>Clases por modalidad</t>
        </is>
      </c>
      <c r="B11" s="18" t="n"/>
      <c r="C11" s="19" t="n"/>
    </row>
    <row r="12" ht="18.75" customFormat="1" customHeight="1" s="7">
      <c r="A12" s="8" t="inlineStr">
        <is>
          <t>Modalidad</t>
        </is>
      </c>
      <c r="B12" s="9" t="inlineStr">
        <is>
          <t>Cantidad</t>
        </is>
      </c>
      <c r="C12" s="10" t="n"/>
    </row>
    <row r="13" ht="18.75" customHeight="1">
      <c r="A13" s="11" t="inlineStr">
        <is>
          <t>presencial</t>
        </is>
      </c>
      <c r="B13" s="12">
        <f>COUNTIFS(Cronograma!D:D,"presencial",Cronograma!A:A,"clase*")</f>
        <v/>
      </c>
      <c r="C13" s="19" t="n"/>
    </row>
    <row r="14" ht="18.75" customHeight="1">
      <c r="A14" s="11" t="inlineStr">
        <is>
          <t>virtual</t>
        </is>
      </c>
      <c r="B14" s="12">
        <f>COUNTIFS(Cronograma!D:D,"virtual",Cronograma!A:A,"clase*")</f>
        <v/>
      </c>
      <c r="C14" s="19" t="n"/>
    </row>
    <row r="15" ht="18.75" customHeight="1">
      <c r="A15" s="11" t="inlineStr">
        <is>
          <t>Feriado</t>
        </is>
      </c>
      <c r="B15" s="12">
        <f>COUNTIF(Cronograma!D:D,"Feriado")</f>
        <v/>
      </c>
      <c r="C15" s="19" t="n"/>
    </row>
    <row r="16" ht="18.75" customHeight="1">
      <c r="A16" s="17" t="n"/>
      <c r="B16" s="18" t="n"/>
      <c r="C16" s="19" t="n"/>
    </row>
    <row r="17" ht="18.75" customHeight="1">
      <c r="A17" s="6" t="inlineStr">
        <is>
          <t>Clases por unidad</t>
        </is>
      </c>
      <c r="B17" s="18" t="n"/>
      <c r="C17" s="19" t="n"/>
    </row>
    <row r="18" ht="18.75" customFormat="1" customHeight="1" s="7">
      <c r="A18" s="8" t="inlineStr">
        <is>
          <t>Unidad</t>
        </is>
      </c>
      <c r="B18" s="9" t="inlineStr">
        <is>
          <t>Cantidad</t>
        </is>
      </c>
      <c r="C18" s="10" t="n"/>
    </row>
    <row r="19" ht="18.75" customHeight="1">
      <c r="A19" s="11" t="inlineStr">
        <is>
          <t>Unidad 1</t>
        </is>
      </c>
      <c r="B19" s="12">
        <f>COUNTIFS(Cronograma!E:E,"Unidad 1",Cronograma!A:A,"clase*")</f>
        <v/>
      </c>
      <c r="C19" s="19" t="n"/>
    </row>
    <row r="20" ht="18.75" customHeight="1">
      <c r="A20" s="11" t="inlineStr">
        <is>
          <t>Unidad 2</t>
        </is>
      </c>
      <c r="B20" s="12">
        <f>COUNTIFS(Cronograma!E:E,"Unidad 2",Cronograma!A:A,"clase*")</f>
        <v/>
      </c>
      <c r="C20" s="19" t="n"/>
    </row>
    <row r="21" ht="18.75" customHeight="1">
      <c r="A21" s="11" t="inlineStr">
        <is>
          <t>Unidad 3</t>
        </is>
      </c>
      <c r="B21" s="12">
        <f>COUNTIFS(Cronograma!E:E,"Unidad 3",Cronograma!A:A,"clase*")</f>
        <v/>
      </c>
      <c r="C21" s="19" t="n"/>
    </row>
    <row r="22" ht="18.75" customHeight="1">
      <c r="A22" s="11" t="inlineStr">
        <is>
          <t>Unidad 4</t>
        </is>
      </c>
      <c r="B22" s="12">
        <f>COUNTIFS(Cronograma!E:E,"Unidad 4",Cronograma!A:A,"clase*")</f>
        <v/>
      </c>
      <c r="C22" s="19" t="n"/>
    </row>
    <row r="23" ht="18.75" customHeight="1">
      <c r="A23" s="11" t="inlineStr">
        <is>
          <t>Unidad 5</t>
        </is>
      </c>
      <c r="B23" s="12">
        <f>COUNTIFS(Cronograma!E:E,"Unidad 5",Cronograma!A:A,"clase*")</f>
        <v/>
      </c>
      <c r="C23" s="19" t="n"/>
    </row>
    <row r="24" ht="18.75" customHeight="1">
      <c r="A24" s="17" t="n"/>
      <c r="B24" s="18" t="n"/>
      <c r="C24" s="19" t="n"/>
    </row>
    <row r="25" ht="18.75" customHeight="1">
      <c r="A25" s="6" t="inlineStr">
        <is>
          <t>Fechas clave</t>
        </is>
      </c>
      <c r="B25" s="18" t="n"/>
      <c r="C25" s="19" t="n"/>
    </row>
    <row r="26" ht="18.75" customFormat="1" customHeight="1" s="7">
      <c r="A26" s="8" t="inlineStr">
        <is>
          <t>Evento</t>
        </is>
      </c>
      <c r="B26" s="9" t="inlineStr">
        <is>
          <t>Fecha</t>
        </is>
      </c>
      <c r="C26" s="10" t="n"/>
    </row>
    <row r="27" ht="18.75" customHeight="1">
      <c r="A27" s="15" t="inlineStr">
        <is>
          <t>Inicio de cursada</t>
        </is>
      </c>
      <c r="B27" s="16" t="n">
        <v>46098</v>
      </c>
      <c r="C27" s="19" t="n"/>
    </row>
    <row r="28" ht="18.75" customHeight="1">
      <c r="A28" s="15" t="inlineStr">
        <is>
          <t>Primer parcial</t>
        </is>
      </c>
      <c r="B28" s="16" t="n">
        <v>46147</v>
      </c>
      <c r="C28" s="19" t="n"/>
    </row>
    <row r="29" ht="18.75" customHeight="1">
      <c r="A29" s="15" t="inlineStr">
        <is>
          <t>Presentación TPs</t>
        </is>
      </c>
      <c r="B29" s="16" t="n">
        <v>46185</v>
      </c>
      <c r="C29" s="19" t="n"/>
    </row>
    <row r="30" ht="18.75" customHeight="1">
      <c r="A30" s="15" t="inlineStr">
        <is>
          <t>Segundo parcial</t>
        </is>
      </c>
      <c r="B30" s="16" t="n">
        <v>46189</v>
      </c>
      <c r="C30" s="19" t="n"/>
    </row>
    <row r="31" ht="18.75" customHeight="1">
      <c r="A31" s="15" t="inlineStr">
        <is>
          <t>Recuperatorios</t>
        </is>
      </c>
      <c r="B31" s="16" t="n">
        <v>46196</v>
      </c>
      <c r="C31" s="19" t="n"/>
    </row>
    <row r="32" ht="18.75" customHeight="1">
      <c r="A32" s="15" t="inlineStr">
        <is>
          <t>Final</t>
        </is>
      </c>
      <c r="B32" s="16" t="n">
        <v>46203</v>
      </c>
      <c r="C32" s="19" t="n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2026-04-25T00:53:42Z</dcterms:created>
  <dcterms:modified xmlns:dcterms="http://purl.org/dc/terms/" xmlns:xsi="http://www.w3.org/2001/XMLSchema-instance" xsi:type="dcterms:W3CDTF">2026-04-25T00:54:50Z</dcterms:modified>
</cp:coreProperties>
</file>